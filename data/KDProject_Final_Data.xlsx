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lsowe\Documents\WORKINGS\R DOCUMENTATIONS\KLEBSIELLA DIVERSITY PROJECT\data\"/>
    </mc:Choice>
  </mc:AlternateContent>
  <xr:revisionPtr revIDLastSave="0" documentId="13_ncr:1_{A8E3C53C-DD72-40AC-B68F-F69F2E985F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2" i="1"/>
</calcChain>
</file>

<file path=xl/sharedStrings.xml><?xml version="1.0" encoding="utf-8"?>
<sst xmlns="http://schemas.openxmlformats.org/spreadsheetml/2006/main" count="574" uniqueCount="205">
  <si>
    <t>Sample_ID</t>
  </si>
  <si>
    <t>Source</t>
  </si>
  <si>
    <t>MAC_agar</t>
  </si>
  <si>
    <t>Colony no.</t>
  </si>
  <si>
    <t>Colony_morphology</t>
  </si>
  <si>
    <t>Indole_Test</t>
  </si>
  <si>
    <t>qPCR_ct value</t>
  </si>
  <si>
    <t>Nanodrop ng/µl</t>
  </si>
  <si>
    <t>Qubit ng/µl</t>
  </si>
  <si>
    <t>PCR</t>
  </si>
  <si>
    <t>Sequenced</t>
  </si>
  <si>
    <t>Barcode</t>
  </si>
  <si>
    <t>Seq_pool</t>
  </si>
  <si>
    <t>Species</t>
  </si>
  <si>
    <t>ST</t>
  </si>
  <si>
    <t>Allele Profile</t>
  </si>
  <si>
    <t>Patient</t>
  </si>
  <si>
    <t>N273RD0-2</t>
  </si>
  <si>
    <t>NPS</t>
  </si>
  <si>
    <t>Growth</t>
  </si>
  <si>
    <t>1</t>
  </si>
  <si>
    <t>Mucoid lactose fermenting colonies</t>
  </si>
  <si>
    <t>Neg</t>
  </si>
  <si>
    <t>21.53</t>
  </si>
  <si>
    <t>167.5</t>
  </si>
  <si>
    <t>69.8</t>
  </si>
  <si>
    <t>Positive</t>
  </si>
  <si>
    <t>yes</t>
  </si>
  <si>
    <t>01</t>
  </si>
  <si>
    <t>459</t>
  </si>
  <si>
    <t>dnaA(46), fusA(20), gyrB(148), leuS(44), pyrG(107), rplB(28), rpoB(6)</t>
  </si>
  <si>
    <t>Baby</t>
  </si>
  <si>
    <t>N033RD0-2</t>
  </si>
  <si>
    <t>2</t>
  </si>
  <si>
    <t>Small pink lactose fermenting colonies</t>
  </si>
  <si>
    <t>31.74</t>
  </si>
  <si>
    <t>120.8</t>
  </si>
  <si>
    <t>50.2</t>
  </si>
  <si>
    <t>Negative</t>
  </si>
  <si>
    <t>05</t>
  </si>
  <si>
    <t>49</t>
  </si>
  <si>
    <t>arcC(2), SH_1200(5), hemH(6), leuB(1), SH1431(1), cfxE(1), Ribose_ABC(4)</t>
  </si>
  <si>
    <t>3</t>
  </si>
  <si>
    <t>29.36</t>
  </si>
  <si>
    <t>296.60000000000002</t>
  </si>
  <si>
    <t>40.6</t>
  </si>
  <si>
    <t>06</t>
  </si>
  <si>
    <t>N266RD28-2</t>
  </si>
  <si>
    <t>Circular smooth moist lactose-fermenting colonies</t>
  </si>
  <si>
    <t>27.33</t>
  </si>
  <si>
    <t>205.3</t>
  </si>
  <si>
    <t>70</t>
  </si>
  <si>
    <t>09</t>
  </si>
  <si>
    <t>E. coli</t>
  </si>
  <si>
    <t>31</t>
  </si>
  <si>
    <t>adk = 18, fumC = 22, gyrB = 17, icd = 6, mdh = 5, purA = 5, recA = 4.</t>
  </si>
  <si>
    <t>N279RD28-2</t>
  </si>
  <si>
    <t>Mucoid sticky lactose fermenting colonies</t>
  </si>
  <si>
    <t>11.56</t>
  </si>
  <si>
    <t>201.3</t>
  </si>
  <si>
    <t>70.2</t>
  </si>
  <si>
    <t>17</t>
  </si>
  <si>
    <t>45</t>
  </si>
  <si>
    <t>gapA(2), infB(1), mdh(1), pgi(6), phoE(7), rpoB(1), tonB(12)</t>
  </si>
  <si>
    <t>200.5</t>
  </si>
  <si>
    <t>83.2</t>
  </si>
  <si>
    <t>18</t>
  </si>
  <si>
    <t>CG309RVD0-2</t>
  </si>
  <si>
    <t>.</t>
  </si>
  <si>
    <t>154.69999999999999</t>
  </si>
  <si>
    <t>64.400000000000006</t>
  </si>
  <si>
    <t>22</t>
  </si>
  <si>
    <t>Care Giver</t>
  </si>
  <si>
    <t>CG282RVD0-2</t>
  </si>
  <si>
    <t>Pos</t>
  </si>
  <si>
    <t>158.19999999999999</t>
  </si>
  <si>
    <t>75.599999999999994</t>
  </si>
  <si>
    <t>24</t>
  </si>
  <si>
    <t>10</t>
  </si>
  <si>
    <t>adk(10), fumC(11), gyrB(4), icd(8), mdh(8), purA(8), recA(2)</t>
  </si>
  <si>
    <t>204.3</t>
  </si>
  <si>
    <t>71.2</t>
  </si>
  <si>
    <t>25</t>
  </si>
  <si>
    <t>CG022RVD0-2</t>
  </si>
  <si>
    <t>38.65</t>
  </si>
  <si>
    <t>333</t>
  </si>
  <si>
    <t>46.2</t>
  </si>
  <si>
    <t>26</t>
  </si>
  <si>
    <t>68</t>
  </si>
  <si>
    <t>4</t>
  </si>
  <si>
    <t>Pale pink colonies</t>
  </si>
  <si>
    <t>9.9</t>
  </si>
  <si>
    <t>27</t>
  </si>
  <si>
    <t>30</t>
  </si>
  <si>
    <t>arcC(2), SH_1200(5), hemH(1), leuB(1), SH1431(1), cfxE(1), Ribose_ABC(4)</t>
  </si>
  <si>
    <t>N266RD7-2</t>
  </si>
  <si>
    <t>10.79</t>
  </si>
  <si>
    <t>40.799999999999997</t>
  </si>
  <si>
    <t>28</t>
  </si>
  <si>
    <t>590</t>
  </si>
  <si>
    <t>gapA(2), infB(1), mdh(13), pgi(3), phoE(7), rpoB(4), tonB(25)</t>
  </si>
  <si>
    <t>11.28</t>
  </si>
  <si>
    <t>171.2</t>
  </si>
  <si>
    <t>63.6</t>
  </si>
  <si>
    <t>29</t>
  </si>
  <si>
    <t>25.81</t>
  </si>
  <si>
    <t>108.8</t>
  </si>
  <si>
    <t>arcC(1), SH_1200(5), hemH(1), leuB(1), SH1431(1), cfxE(1), Ribose_ABC(4)</t>
  </si>
  <si>
    <t>N266RD0-2</t>
  </si>
  <si>
    <t>Mucoid non lactose fermenting colonies</t>
  </si>
  <si>
    <t>21.01</t>
  </si>
  <si>
    <t>161.5</t>
  </si>
  <si>
    <t>80.8</t>
  </si>
  <si>
    <t>5</t>
  </si>
  <si>
    <t>105.9</t>
  </si>
  <si>
    <t>85.8</t>
  </si>
  <si>
    <t>32</t>
  </si>
  <si>
    <t>N072RD28-2</t>
  </si>
  <si>
    <t>24.11</t>
  </si>
  <si>
    <t>146.1</t>
  </si>
  <si>
    <t>76</t>
  </si>
  <si>
    <t>33</t>
  </si>
  <si>
    <t>69</t>
  </si>
  <si>
    <t>adk(21), fumC(35), gyrB(27), icd(6), mdh(5), purA(5), recA(4)</t>
  </si>
  <si>
    <t>24.34</t>
  </si>
  <si>
    <t>187.9</t>
  </si>
  <si>
    <t>80.2</t>
  </si>
  <si>
    <t>34</t>
  </si>
  <si>
    <t>24.98</t>
  </si>
  <si>
    <t>163.1</t>
  </si>
  <si>
    <t>35</t>
  </si>
  <si>
    <t>N260RD7-2</t>
  </si>
  <si>
    <t>11.02</t>
  </si>
  <si>
    <t>180.4</t>
  </si>
  <si>
    <t>74.8</t>
  </si>
  <si>
    <t>36</t>
  </si>
  <si>
    <t>37</t>
  </si>
  <si>
    <t>gapA(2), infB(9), mdh(2), pgi(1), phoE(13), rpoB(1), tonB(16)</t>
  </si>
  <si>
    <t>N246RD28-2</t>
  </si>
  <si>
    <t>10.46</t>
  </si>
  <si>
    <t>149.80000000000001</t>
  </si>
  <si>
    <t>196</t>
  </si>
  <si>
    <t>gapA(17), infB(19), mdh(39), pgi(39), phoE(51), rpoB(18), tonB(72)</t>
  </si>
  <si>
    <t>N260RD28-2</t>
  </si>
  <si>
    <t>187.4</t>
  </si>
  <si>
    <t>72.2</t>
  </si>
  <si>
    <t>38</t>
  </si>
  <si>
    <t>N246RD0-2</t>
  </si>
  <si>
    <t>9.09</t>
  </si>
  <si>
    <t>208.8</t>
  </si>
  <si>
    <t>39</t>
  </si>
  <si>
    <t>N279RD0-2</t>
  </si>
  <si>
    <t>153.1</t>
  </si>
  <si>
    <t>78.400000000000006</t>
  </si>
  <si>
    <t>40</t>
  </si>
  <si>
    <t>164</t>
  </si>
  <si>
    <t>41</t>
  </si>
  <si>
    <t>pale pink lactose fermenting colonies</t>
  </si>
  <si>
    <t>243.6</t>
  </si>
  <si>
    <t>76.599999999999994</t>
  </si>
  <si>
    <t>42</t>
  </si>
  <si>
    <t>6</t>
  </si>
  <si>
    <t>127.1</t>
  </si>
  <si>
    <t>99.4</t>
  </si>
  <si>
    <t>43</t>
  </si>
  <si>
    <t>Pale pink lactose fermenting colonies</t>
  </si>
  <si>
    <t>121.1</t>
  </si>
  <si>
    <t>44</t>
  </si>
  <si>
    <t>N033RD28-2</t>
  </si>
  <si>
    <t>208.1</t>
  </si>
  <si>
    <t>57.8</t>
  </si>
  <si>
    <t>678</t>
  </si>
  <si>
    <t>adk(6), fumC(6), gyrB(5), icd(136), mdh(9), purA(7), recA(7)</t>
  </si>
  <si>
    <t>246.4</t>
  </si>
  <si>
    <t>64.2</t>
  </si>
  <si>
    <t>46</t>
  </si>
  <si>
    <t>258.39999999999998</t>
  </si>
  <si>
    <t>72.8</t>
  </si>
  <si>
    <t>47</t>
  </si>
  <si>
    <t>N273RD7-2</t>
  </si>
  <si>
    <t>155.19999999999999</t>
  </si>
  <si>
    <t>60.8</t>
  </si>
  <si>
    <t>48</t>
  </si>
  <si>
    <t>adk(6), fumC(2128?), gyrB(~32), icd(1664?), mdh(~1042), purA(1122?), recA(894)</t>
  </si>
  <si>
    <t>13</t>
  </si>
  <si>
    <t>Environmental</t>
  </si>
  <si>
    <t>255.7</t>
  </si>
  <si>
    <t>96.6</t>
  </si>
  <si>
    <t>gapA(2), infB(1), mdh(2), pgi(4), phoE(9), rpoB(1), tonB(14)</t>
  </si>
  <si>
    <t>16</t>
  </si>
  <si>
    <t>273.60000000000002</t>
  </si>
  <si>
    <t>6.9</t>
  </si>
  <si>
    <t>50</t>
  </si>
  <si>
    <t>5045/18</t>
  </si>
  <si>
    <t>Invasive</t>
  </si>
  <si>
    <t>141.1</t>
  </si>
  <si>
    <t>102</t>
  </si>
  <si>
    <t>51</t>
  </si>
  <si>
    <t>247</t>
  </si>
  <si>
    <t>gapA(10), infB(7), mdh(2), pgi(2), phoE(3), rpoB(25), tonB(4)</t>
  </si>
  <si>
    <t>Sample_IDs</t>
  </si>
  <si>
    <t>Undefined</t>
  </si>
  <si>
    <t>S. haemolyticus</t>
  </si>
  <si>
    <t>K. pneumoniae</t>
  </si>
  <si>
    <t>E. cloacae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</si>
</sst>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topLeftCell="F1" workbookViewId="0">
      <selection activeCell="O13" sqref="O13"/>
    </sheetView>
  </sheetViews>
  <sheetFormatPr defaultRowHeight="14.4" x14ac:dyDescent="0.3"/>
  <cols>
    <col min="1" max="1" width="12.44140625" bestFit="1" customWidth="1"/>
    <col min="2" max="2" width="15" bestFit="1" customWidth="1"/>
    <col min="3" max="3" width="13.77734375" bestFit="1" customWidth="1"/>
    <col min="4" max="4" width="9.77734375" bestFit="1" customWidth="1"/>
    <col min="5" max="5" width="10.109375" bestFit="1" customWidth="1"/>
    <col min="6" max="6" width="45.5546875" bestFit="1" customWidth="1"/>
    <col min="7" max="7" width="11.109375" bestFit="1" customWidth="1"/>
    <col min="8" max="8" width="13.21875" bestFit="1" customWidth="1"/>
    <col min="9" max="10" width="18.77734375" bestFit="1" customWidth="1"/>
    <col min="11" max="11" width="8.77734375" bestFit="1" customWidth="1"/>
    <col min="12" max="12" width="10.5546875" bestFit="1" customWidth="1"/>
    <col min="13" max="13" width="7.88671875" bestFit="1" customWidth="1"/>
    <col min="14" max="14" width="9" bestFit="1" customWidth="1"/>
    <col min="15" max="15" width="26.5546875" bestFit="1" customWidth="1"/>
    <col min="16" max="16" width="16.77734375" bestFit="1" customWidth="1"/>
    <col min="17" max="17" width="70.6640625" bestFit="1" customWidth="1"/>
    <col min="18" max="18" width="13.77734375" bestFit="1" customWidth="1"/>
  </cols>
  <sheetData>
    <row r="1" spans="1:18" s="1" customFormat="1" x14ac:dyDescent="0.3">
      <c r="A1" s="1" t="s">
        <v>0</v>
      </c>
      <c r="B1" s="1" t="s">
        <v>200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t="s">
        <v>17</v>
      </c>
      <c r="B2" t="str">
        <f>_xlfn.CONCAT(A2, "_ ", E2)</f>
        <v>N273RD0-2_ 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1</v>
      </c>
      <c r="O2" t="s">
        <v>204</v>
      </c>
      <c r="P2" t="s">
        <v>29</v>
      </c>
      <c r="Q2" t="s">
        <v>30</v>
      </c>
      <c r="R2" t="s">
        <v>31</v>
      </c>
    </row>
    <row r="3" spans="1:18" x14ac:dyDescent="0.3">
      <c r="A3" t="s">
        <v>32</v>
      </c>
      <c r="B3" t="str">
        <f t="shared" ref="B3:B36" si="0">_xlfn.CONCAT(A3, "_ ", E3)</f>
        <v>N033RD0-2_ 2</v>
      </c>
      <c r="C3" t="s">
        <v>18</v>
      </c>
      <c r="D3" t="s">
        <v>19</v>
      </c>
      <c r="E3" t="s">
        <v>33</v>
      </c>
      <c r="F3" t="s">
        <v>34</v>
      </c>
      <c r="G3" t="s">
        <v>22</v>
      </c>
      <c r="H3" t="s">
        <v>35</v>
      </c>
      <c r="I3" t="s">
        <v>36</v>
      </c>
      <c r="J3" t="s">
        <v>37</v>
      </c>
      <c r="K3" t="s">
        <v>38</v>
      </c>
      <c r="L3" t="s">
        <v>27</v>
      </c>
      <c r="M3" t="s">
        <v>39</v>
      </c>
      <c r="N3">
        <v>1</v>
      </c>
      <c r="O3" t="s">
        <v>202</v>
      </c>
      <c r="P3" t="s">
        <v>40</v>
      </c>
      <c r="Q3" t="s">
        <v>41</v>
      </c>
      <c r="R3" t="s">
        <v>31</v>
      </c>
    </row>
    <row r="4" spans="1:18" x14ac:dyDescent="0.3">
      <c r="A4" t="s">
        <v>32</v>
      </c>
      <c r="B4" t="str">
        <f t="shared" si="0"/>
        <v>N033RD0-2_ 3</v>
      </c>
      <c r="C4" t="s">
        <v>18</v>
      </c>
      <c r="D4" t="s">
        <v>19</v>
      </c>
      <c r="E4" t="s">
        <v>42</v>
      </c>
      <c r="F4" t="s">
        <v>34</v>
      </c>
      <c r="G4" t="s">
        <v>22</v>
      </c>
      <c r="H4" t="s">
        <v>43</v>
      </c>
      <c r="I4" t="s">
        <v>44</v>
      </c>
      <c r="J4" t="s">
        <v>45</v>
      </c>
      <c r="K4" t="s">
        <v>38</v>
      </c>
      <c r="L4" t="s">
        <v>27</v>
      </c>
      <c r="M4" t="s">
        <v>46</v>
      </c>
      <c r="N4">
        <v>1</v>
      </c>
      <c r="O4" t="s">
        <v>202</v>
      </c>
      <c r="P4" t="s">
        <v>40</v>
      </c>
      <c r="Q4" t="s">
        <v>41</v>
      </c>
      <c r="R4" t="s">
        <v>31</v>
      </c>
    </row>
    <row r="5" spans="1:18" x14ac:dyDescent="0.3">
      <c r="A5" t="s">
        <v>47</v>
      </c>
      <c r="B5" t="str">
        <f t="shared" si="0"/>
        <v>N266RD28-2_ 2</v>
      </c>
      <c r="C5" t="s">
        <v>18</v>
      </c>
      <c r="D5" t="s">
        <v>19</v>
      </c>
      <c r="E5" t="s">
        <v>33</v>
      </c>
      <c r="F5" t="s">
        <v>48</v>
      </c>
      <c r="G5" t="s">
        <v>22</v>
      </c>
      <c r="H5" t="s">
        <v>49</v>
      </c>
      <c r="I5" t="s">
        <v>50</v>
      </c>
      <c r="J5" t="s">
        <v>51</v>
      </c>
      <c r="K5" t="s">
        <v>38</v>
      </c>
      <c r="L5" t="s">
        <v>27</v>
      </c>
      <c r="M5" t="s">
        <v>52</v>
      </c>
      <c r="N5">
        <v>1</v>
      </c>
      <c r="O5" t="s">
        <v>53</v>
      </c>
      <c r="P5" t="s">
        <v>54</v>
      </c>
      <c r="Q5" t="s">
        <v>55</v>
      </c>
      <c r="R5" t="s">
        <v>31</v>
      </c>
    </row>
    <row r="6" spans="1:18" x14ac:dyDescent="0.3">
      <c r="A6" t="s">
        <v>56</v>
      </c>
      <c r="B6" t="str">
        <f t="shared" si="0"/>
        <v>N279RD28-2_ 1</v>
      </c>
      <c r="C6" t="s">
        <v>18</v>
      </c>
      <c r="D6" t="s">
        <v>19</v>
      </c>
      <c r="E6" t="s">
        <v>20</v>
      </c>
      <c r="F6" t="s">
        <v>57</v>
      </c>
      <c r="G6" t="s">
        <v>22</v>
      </c>
      <c r="H6" t="s">
        <v>58</v>
      </c>
      <c r="I6" t="s">
        <v>59</v>
      </c>
      <c r="J6" t="s">
        <v>60</v>
      </c>
      <c r="K6" t="s">
        <v>26</v>
      </c>
      <c r="L6" t="s">
        <v>27</v>
      </c>
      <c r="M6" t="s">
        <v>61</v>
      </c>
      <c r="N6">
        <v>1</v>
      </c>
      <c r="O6" t="s">
        <v>203</v>
      </c>
      <c r="P6" t="s">
        <v>62</v>
      </c>
      <c r="Q6" t="s">
        <v>63</v>
      </c>
      <c r="R6" t="s">
        <v>31</v>
      </c>
    </row>
    <row r="7" spans="1:18" x14ac:dyDescent="0.3">
      <c r="A7" t="s">
        <v>56</v>
      </c>
      <c r="B7" t="str">
        <f t="shared" si="0"/>
        <v>N279RD28-2_ 2</v>
      </c>
      <c r="C7" t="s">
        <v>18</v>
      </c>
      <c r="D7" t="s">
        <v>19</v>
      </c>
      <c r="E7" t="s">
        <v>33</v>
      </c>
      <c r="F7" t="s">
        <v>57</v>
      </c>
      <c r="G7" t="s">
        <v>22</v>
      </c>
      <c r="H7" t="s">
        <v>58</v>
      </c>
      <c r="I7" t="s">
        <v>64</v>
      </c>
      <c r="J7" t="s">
        <v>65</v>
      </c>
      <c r="K7" t="s">
        <v>38</v>
      </c>
      <c r="L7" t="s">
        <v>27</v>
      </c>
      <c r="M7" t="s">
        <v>66</v>
      </c>
      <c r="N7">
        <v>1</v>
      </c>
      <c r="O7" t="s">
        <v>203</v>
      </c>
      <c r="P7" t="s">
        <v>62</v>
      </c>
      <c r="Q7" t="s">
        <v>63</v>
      </c>
      <c r="R7" t="s">
        <v>31</v>
      </c>
    </row>
    <row r="8" spans="1:18" x14ac:dyDescent="0.3">
      <c r="A8" t="s">
        <v>67</v>
      </c>
      <c r="B8" t="str">
        <f t="shared" si="0"/>
        <v>CG309RVD0-2_ 2</v>
      </c>
      <c r="C8" t="s">
        <v>18</v>
      </c>
      <c r="D8" t="s">
        <v>19</v>
      </c>
      <c r="E8" t="s">
        <v>33</v>
      </c>
      <c r="F8" t="s">
        <v>48</v>
      </c>
      <c r="G8" t="s">
        <v>22</v>
      </c>
      <c r="H8" t="s">
        <v>68</v>
      </c>
      <c r="I8" t="s">
        <v>69</v>
      </c>
      <c r="J8" t="s">
        <v>70</v>
      </c>
      <c r="K8" t="s">
        <v>26</v>
      </c>
      <c r="L8" t="s">
        <v>27</v>
      </c>
      <c r="M8" t="s">
        <v>71</v>
      </c>
      <c r="N8">
        <v>1</v>
      </c>
      <c r="O8" t="s">
        <v>204</v>
      </c>
      <c r="P8" t="s">
        <v>29</v>
      </c>
      <c r="Q8" t="s">
        <v>30</v>
      </c>
      <c r="R8" t="s">
        <v>72</v>
      </c>
    </row>
    <row r="9" spans="1:18" x14ac:dyDescent="0.3">
      <c r="A9" t="s">
        <v>73</v>
      </c>
      <c r="B9" t="str">
        <f t="shared" si="0"/>
        <v>CG282RVD0-2_ 1</v>
      </c>
      <c r="C9" t="s">
        <v>18</v>
      </c>
      <c r="D9" t="s">
        <v>19</v>
      </c>
      <c r="E9" t="s">
        <v>20</v>
      </c>
      <c r="G9" t="s">
        <v>74</v>
      </c>
      <c r="H9" t="s">
        <v>68</v>
      </c>
      <c r="I9" t="s">
        <v>75</v>
      </c>
      <c r="J9" t="s">
        <v>76</v>
      </c>
      <c r="K9" t="s">
        <v>26</v>
      </c>
      <c r="L9" t="s">
        <v>27</v>
      </c>
      <c r="M9" t="s">
        <v>77</v>
      </c>
      <c r="N9">
        <v>1</v>
      </c>
      <c r="O9" t="s">
        <v>53</v>
      </c>
      <c r="P9" t="s">
        <v>78</v>
      </c>
      <c r="Q9" t="s">
        <v>79</v>
      </c>
      <c r="R9" t="s">
        <v>72</v>
      </c>
    </row>
    <row r="10" spans="1:18" x14ac:dyDescent="0.3">
      <c r="A10" t="s">
        <v>73</v>
      </c>
      <c r="B10" t="str">
        <f t="shared" si="0"/>
        <v>CG282RVD0-2_ 2</v>
      </c>
      <c r="C10" t="s">
        <v>18</v>
      </c>
      <c r="D10" t="s">
        <v>19</v>
      </c>
      <c r="E10" t="s">
        <v>33</v>
      </c>
      <c r="G10" t="s">
        <v>74</v>
      </c>
      <c r="H10" t="s">
        <v>68</v>
      </c>
      <c r="I10" t="s">
        <v>80</v>
      </c>
      <c r="J10" t="s">
        <v>81</v>
      </c>
      <c r="K10" t="s">
        <v>38</v>
      </c>
      <c r="L10" t="s">
        <v>27</v>
      </c>
      <c r="M10" t="s">
        <v>82</v>
      </c>
      <c r="N10">
        <v>1</v>
      </c>
      <c r="O10" t="s">
        <v>53</v>
      </c>
      <c r="P10" t="s">
        <v>78</v>
      </c>
      <c r="Q10" t="s">
        <v>79</v>
      </c>
      <c r="R10" t="s">
        <v>72</v>
      </c>
    </row>
    <row r="11" spans="1:18" x14ac:dyDescent="0.3">
      <c r="A11" t="s">
        <v>83</v>
      </c>
      <c r="B11" t="str">
        <f t="shared" si="0"/>
        <v>CG022RVD0-2_ 3</v>
      </c>
      <c r="C11" t="s">
        <v>18</v>
      </c>
      <c r="D11" t="s">
        <v>19</v>
      </c>
      <c r="E11" t="s">
        <v>42</v>
      </c>
      <c r="F11" t="s">
        <v>34</v>
      </c>
      <c r="G11" t="s">
        <v>22</v>
      </c>
      <c r="H11" t="s">
        <v>84</v>
      </c>
      <c r="I11" t="s">
        <v>85</v>
      </c>
      <c r="J11" t="s">
        <v>86</v>
      </c>
      <c r="K11" t="s">
        <v>38</v>
      </c>
      <c r="L11" t="s">
        <v>27</v>
      </c>
      <c r="M11" t="s">
        <v>87</v>
      </c>
      <c r="N11">
        <v>2</v>
      </c>
      <c r="O11" t="s">
        <v>202</v>
      </c>
      <c r="P11" t="s">
        <v>88</v>
      </c>
      <c r="Q11" t="s">
        <v>41</v>
      </c>
      <c r="R11" t="s">
        <v>72</v>
      </c>
    </row>
    <row r="12" spans="1:18" x14ac:dyDescent="0.3">
      <c r="A12" t="s">
        <v>83</v>
      </c>
      <c r="B12" t="str">
        <f t="shared" si="0"/>
        <v>CG022RVD0-2_ 4</v>
      </c>
      <c r="C12" t="s">
        <v>18</v>
      </c>
      <c r="D12" t="s">
        <v>19</v>
      </c>
      <c r="E12" t="s">
        <v>89</v>
      </c>
      <c r="F12" t="s">
        <v>90</v>
      </c>
      <c r="G12" t="s">
        <v>68</v>
      </c>
      <c r="H12" t="s">
        <v>68</v>
      </c>
      <c r="I12" t="s">
        <v>91</v>
      </c>
      <c r="J12" t="s">
        <v>37</v>
      </c>
      <c r="K12" t="s">
        <v>26</v>
      </c>
      <c r="L12" t="s">
        <v>27</v>
      </c>
      <c r="M12" t="s">
        <v>92</v>
      </c>
      <c r="N12">
        <v>2</v>
      </c>
      <c r="O12" t="s">
        <v>202</v>
      </c>
      <c r="P12" t="s">
        <v>93</v>
      </c>
      <c r="Q12" t="s">
        <v>94</v>
      </c>
      <c r="R12" t="s">
        <v>72</v>
      </c>
    </row>
    <row r="13" spans="1:18" x14ac:dyDescent="0.3">
      <c r="A13" t="s">
        <v>95</v>
      </c>
      <c r="B13" t="str">
        <f t="shared" si="0"/>
        <v>N266RD7-2_ 1</v>
      </c>
      <c r="C13" t="s">
        <v>18</v>
      </c>
      <c r="D13" t="s">
        <v>19</v>
      </c>
      <c r="E13" t="s">
        <v>20</v>
      </c>
      <c r="F13" t="s">
        <v>57</v>
      </c>
      <c r="G13" t="s">
        <v>22</v>
      </c>
      <c r="H13" t="s">
        <v>96</v>
      </c>
      <c r="I13" t="s">
        <v>81</v>
      </c>
      <c r="J13" t="s">
        <v>97</v>
      </c>
      <c r="K13" t="s">
        <v>26</v>
      </c>
      <c r="L13" t="s">
        <v>27</v>
      </c>
      <c r="M13" t="s">
        <v>98</v>
      </c>
      <c r="N13">
        <v>2</v>
      </c>
      <c r="O13" t="s">
        <v>203</v>
      </c>
      <c r="P13" t="s">
        <v>99</v>
      </c>
      <c r="Q13" t="s">
        <v>100</v>
      </c>
      <c r="R13" t="s">
        <v>31</v>
      </c>
    </row>
    <row r="14" spans="1:18" x14ac:dyDescent="0.3">
      <c r="A14" t="s">
        <v>95</v>
      </c>
      <c r="B14" t="str">
        <f t="shared" si="0"/>
        <v>N266RD7-2_ 2</v>
      </c>
      <c r="C14" t="s">
        <v>18</v>
      </c>
      <c r="D14" t="s">
        <v>19</v>
      </c>
      <c r="E14" t="s">
        <v>33</v>
      </c>
      <c r="F14" t="s">
        <v>21</v>
      </c>
      <c r="G14" t="s">
        <v>22</v>
      </c>
      <c r="H14" t="s">
        <v>101</v>
      </c>
      <c r="I14" t="s">
        <v>102</v>
      </c>
      <c r="J14" t="s">
        <v>103</v>
      </c>
      <c r="K14" t="s">
        <v>26</v>
      </c>
      <c r="L14" t="s">
        <v>27</v>
      </c>
      <c r="M14" t="s">
        <v>104</v>
      </c>
      <c r="N14">
        <v>2</v>
      </c>
      <c r="O14" t="s">
        <v>203</v>
      </c>
      <c r="P14" t="s">
        <v>99</v>
      </c>
      <c r="Q14" t="s">
        <v>100</v>
      </c>
      <c r="R14" t="s">
        <v>31</v>
      </c>
    </row>
    <row r="15" spans="1:18" x14ac:dyDescent="0.3">
      <c r="A15" t="s">
        <v>32</v>
      </c>
      <c r="B15" t="str">
        <f t="shared" si="0"/>
        <v>N033RD0-2_ 1</v>
      </c>
      <c r="C15" t="s">
        <v>18</v>
      </c>
      <c r="D15" t="s">
        <v>19</v>
      </c>
      <c r="E15" t="s">
        <v>20</v>
      </c>
      <c r="F15" t="s">
        <v>34</v>
      </c>
      <c r="G15" t="s">
        <v>22</v>
      </c>
      <c r="H15" t="s">
        <v>105</v>
      </c>
      <c r="I15" t="s">
        <v>106</v>
      </c>
      <c r="J15" t="s">
        <v>37</v>
      </c>
      <c r="K15" t="s">
        <v>26</v>
      </c>
      <c r="L15" t="s">
        <v>27</v>
      </c>
      <c r="M15" t="s">
        <v>93</v>
      </c>
      <c r="N15">
        <v>2</v>
      </c>
      <c r="O15" t="s">
        <v>202</v>
      </c>
      <c r="P15" t="s">
        <v>40</v>
      </c>
      <c r="Q15" t="s">
        <v>107</v>
      </c>
      <c r="R15" t="s">
        <v>31</v>
      </c>
    </row>
    <row r="16" spans="1:18" x14ac:dyDescent="0.3">
      <c r="A16" t="s">
        <v>108</v>
      </c>
      <c r="B16" t="str">
        <f t="shared" si="0"/>
        <v>N266RD0-2_ 2</v>
      </c>
      <c r="C16" t="s">
        <v>18</v>
      </c>
      <c r="D16" t="s">
        <v>19</v>
      </c>
      <c r="E16" t="s">
        <v>33</v>
      </c>
      <c r="F16" t="s">
        <v>109</v>
      </c>
      <c r="G16" t="s">
        <v>74</v>
      </c>
      <c r="H16" t="s">
        <v>110</v>
      </c>
      <c r="I16" t="s">
        <v>111</v>
      </c>
      <c r="J16" t="s">
        <v>112</v>
      </c>
      <c r="K16" t="s">
        <v>26</v>
      </c>
      <c r="L16" t="s">
        <v>27</v>
      </c>
      <c r="M16" t="s">
        <v>54</v>
      </c>
      <c r="N16">
        <v>2</v>
      </c>
      <c r="O16" t="s">
        <v>53</v>
      </c>
      <c r="P16" t="s">
        <v>78</v>
      </c>
      <c r="Q16" t="s">
        <v>79</v>
      </c>
      <c r="R16" t="s">
        <v>31</v>
      </c>
    </row>
    <row r="17" spans="1:18" x14ac:dyDescent="0.3">
      <c r="A17" t="s">
        <v>108</v>
      </c>
      <c r="B17" t="str">
        <f t="shared" si="0"/>
        <v>N266RD0-2_ 5</v>
      </c>
      <c r="C17" t="s">
        <v>18</v>
      </c>
      <c r="D17" t="s">
        <v>19</v>
      </c>
      <c r="E17" t="s">
        <v>113</v>
      </c>
      <c r="F17" t="s">
        <v>90</v>
      </c>
      <c r="G17" t="s">
        <v>74</v>
      </c>
      <c r="H17" t="s">
        <v>68</v>
      </c>
      <c r="I17" t="s">
        <v>114</v>
      </c>
      <c r="J17" t="s">
        <v>115</v>
      </c>
      <c r="K17" t="s">
        <v>26</v>
      </c>
      <c r="L17" t="s">
        <v>27</v>
      </c>
      <c r="M17" t="s">
        <v>116</v>
      </c>
      <c r="N17">
        <v>2</v>
      </c>
      <c r="O17" t="s">
        <v>53</v>
      </c>
      <c r="P17" t="s">
        <v>78</v>
      </c>
      <c r="Q17" t="s">
        <v>79</v>
      </c>
      <c r="R17" t="s">
        <v>31</v>
      </c>
    </row>
    <row r="18" spans="1:18" x14ac:dyDescent="0.3">
      <c r="A18" t="s">
        <v>117</v>
      </c>
      <c r="B18" t="str">
        <f t="shared" si="0"/>
        <v>N072RD28-2_ 1</v>
      </c>
      <c r="C18" t="s">
        <v>18</v>
      </c>
      <c r="D18" t="s">
        <v>19</v>
      </c>
      <c r="E18" t="s">
        <v>20</v>
      </c>
      <c r="F18" t="s">
        <v>48</v>
      </c>
      <c r="G18" t="s">
        <v>22</v>
      </c>
      <c r="H18" t="s">
        <v>118</v>
      </c>
      <c r="I18" t="s">
        <v>119</v>
      </c>
      <c r="J18" t="s">
        <v>120</v>
      </c>
      <c r="K18" t="s">
        <v>26</v>
      </c>
      <c r="L18" t="s">
        <v>27</v>
      </c>
      <c r="M18" t="s">
        <v>121</v>
      </c>
      <c r="N18">
        <v>2</v>
      </c>
      <c r="O18" t="s">
        <v>53</v>
      </c>
      <c r="P18" t="s">
        <v>122</v>
      </c>
      <c r="Q18" t="s">
        <v>123</v>
      </c>
      <c r="R18" t="s">
        <v>31</v>
      </c>
    </row>
    <row r="19" spans="1:18" x14ac:dyDescent="0.3">
      <c r="A19" t="s">
        <v>117</v>
      </c>
      <c r="B19" t="str">
        <f t="shared" si="0"/>
        <v>N072RD28-2_ 2</v>
      </c>
      <c r="C19" t="s">
        <v>18</v>
      </c>
      <c r="D19" t="s">
        <v>19</v>
      </c>
      <c r="E19" t="s">
        <v>33</v>
      </c>
      <c r="F19" t="s">
        <v>48</v>
      </c>
      <c r="G19" t="s">
        <v>22</v>
      </c>
      <c r="H19" t="s">
        <v>124</v>
      </c>
      <c r="I19" t="s">
        <v>125</v>
      </c>
      <c r="J19" t="s">
        <v>126</v>
      </c>
      <c r="K19" t="s">
        <v>38</v>
      </c>
      <c r="L19" t="s">
        <v>27</v>
      </c>
      <c r="M19" t="s">
        <v>127</v>
      </c>
      <c r="N19">
        <v>2</v>
      </c>
      <c r="O19" t="s">
        <v>53</v>
      </c>
      <c r="P19" t="s">
        <v>122</v>
      </c>
      <c r="Q19" t="s">
        <v>123</v>
      </c>
      <c r="R19" t="s">
        <v>31</v>
      </c>
    </row>
    <row r="20" spans="1:18" x14ac:dyDescent="0.3">
      <c r="A20" t="s">
        <v>117</v>
      </c>
      <c r="B20" t="str">
        <f t="shared" si="0"/>
        <v>N072RD28-2_ 3</v>
      </c>
      <c r="C20" t="s">
        <v>18</v>
      </c>
      <c r="D20" t="s">
        <v>19</v>
      </c>
      <c r="E20" t="s">
        <v>42</v>
      </c>
      <c r="F20" t="s">
        <v>48</v>
      </c>
      <c r="G20" t="s">
        <v>22</v>
      </c>
      <c r="H20" t="s">
        <v>128</v>
      </c>
      <c r="I20" t="s">
        <v>129</v>
      </c>
      <c r="J20" t="s">
        <v>115</v>
      </c>
      <c r="K20" t="s">
        <v>26</v>
      </c>
      <c r="L20" t="s">
        <v>27</v>
      </c>
      <c r="M20" t="s">
        <v>130</v>
      </c>
      <c r="N20">
        <v>2</v>
      </c>
      <c r="O20" t="s">
        <v>53</v>
      </c>
      <c r="P20" t="s">
        <v>122</v>
      </c>
      <c r="Q20" t="s">
        <v>123</v>
      </c>
      <c r="R20" t="s">
        <v>31</v>
      </c>
    </row>
    <row r="21" spans="1:18" x14ac:dyDescent="0.3">
      <c r="A21" t="s">
        <v>131</v>
      </c>
      <c r="B21" t="str">
        <f t="shared" si="0"/>
        <v>N260RD7-2_ 1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132</v>
      </c>
      <c r="I21" t="s">
        <v>133</v>
      </c>
      <c r="J21" t="s">
        <v>134</v>
      </c>
      <c r="K21" t="s">
        <v>26</v>
      </c>
      <c r="L21" t="s">
        <v>27</v>
      </c>
      <c r="M21" t="s">
        <v>135</v>
      </c>
      <c r="N21">
        <v>2</v>
      </c>
      <c r="O21" t="s">
        <v>203</v>
      </c>
      <c r="P21" t="s">
        <v>136</v>
      </c>
      <c r="Q21" t="s">
        <v>137</v>
      </c>
      <c r="R21" t="s">
        <v>31</v>
      </c>
    </row>
    <row r="22" spans="1:18" x14ac:dyDescent="0.3">
      <c r="A22" t="s">
        <v>138</v>
      </c>
      <c r="B22" t="str">
        <f t="shared" si="0"/>
        <v>N246RD28-2_ 1</v>
      </c>
      <c r="C22" t="s">
        <v>18</v>
      </c>
      <c r="D22" t="s">
        <v>19</v>
      </c>
      <c r="E22" t="s">
        <v>20</v>
      </c>
      <c r="F22" t="s">
        <v>57</v>
      </c>
      <c r="G22" t="s">
        <v>22</v>
      </c>
      <c r="H22" t="s">
        <v>139</v>
      </c>
      <c r="I22" t="s">
        <v>140</v>
      </c>
      <c r="J22" t="s">
        <v>70</v>
      </c>
      <c r="K22" t="s">
        <v>26</v>
      </c>
      <c r="L22" t="s">
        <v>27</v>
      </c>
      <c r="M22" t="s">
        <v>136</v>
      </c>
      <c r="N22">
        <v>2</v>
      </c>
      <c r="O22" t="s">
        <v>203</v>
      </c>
      <c r="P22" t="s">
        <v>141</v>
      </c>
      <c r="Q22" t="s">
        <v>142</v>
      </c>
      <c r="R22" t="s">
        <v>31</v>
      </c>
    </row>
    <row r="23" spans="1:18" x14ac:dyDescent="0.3">
      <c r="A23" t="s">
        <v>143</v>
      </c>
      <c r="B23" t="str">
        <f t="shared" si="0"/>
        <v>N260RD28-2_ 3</v>
      </c>
      <c r="C23" t="s">
        <v>18</v>
      </c>
      <c r="D23" t="s">
        <v>19</v>
      </c>
      <c r="E23" t="s">
        <v>42</v>
      </c>
      <c r="F23" t="s">
        <v>21</v>
      </c>
      <c r="G23" t="s">
        <v>22</v>
      </c>
      <c r="H23" t="s">
        <v>68</v>
      </c>
      <c r="I23" t="s">
        <v>144</v>
      </c>
      <c r="J23" t="s">
        <v>145</v>
      </c>
      <c r="K23" t="s">
        <v>26</v>
      </c>
      <c r="L23" t="s">
        <v>27</v>
      </c>
      <c r="M23" t="s">
        <v>146</v>
      </c>
      <c r="N23">
        <v>2</v>
      </c>
      <c r="O23" t="s">
        <v>204</v>
      </c>
      <c r="P23" t="s">
        <v>29</v>
      </c>
      <c r="Q23" t="s">
        <v>30</v>
      </c>
      <c r="R23" t="s">
        <v>31</v>
      </c>
    </row>
    <row r="24" spans="1:18" x14ac:dyDescent="0.3">
      <c r="A24" t="s">
        <v>147</v>
      </c>
      <c r="B24" t="str">
        <f t="shared" si="0"/>
        <v>N246RD0-2_ 1</v>
      </c>
      <c r="C24" t="s">
        <v>18</v>
      </c>
      <c r="D24" t="s">
        <v>19</v>
      </c>
      <c r="E24" t="s">
        <v>20</v>
      </c>
      <c r="F24" t="s">
        <v>57</v>
      </c>
      <c r="G24" t="s">
        <v>22</v>
      </c>
      <c r="H24" t="s">
        <v>148</v>
      </c>
      <c r="I24" t="s">
        <v>149</v>
      </c>
      <c r="J24" t="s">
        <v>81</v>
      </c>
      <c r="K24" t="s">
        <v>26</v>
      </c>
      <c r="L24" t="s">
        <v>27</v>
      </c>
      <c r="M24" t="s">
        <v>150</v>
      </c>
      <c r="N24">
        <v>2</v>
      </c>
      <c r="O24" t="s">
        <v>203</v>
      </c>
      <c r="P24" t="s">
        <v>136</v>
      </c>
      <c r="Q24" t="s">
        <v>137</v>
      </c>
      <c r="R24" t="s">
        <v>31</v>
      </c>
    </row>
    <row r="25" spans="1:18" x14ac:dyDescent="0.3">
      <c r="A25" t="s">
        <v>151</v>
      </c>
      <c r="B25" t="str">
        <f t="shared" si="0"/>
        <v>N279RD0-2_ 5</v>
      </c>
      <c r="C25" t="s">
        <v>18</v>
      </c>
      <c r="D25" t="s">
        <v>19</v>
      </c>
      <c r="E25" t="s">
        <v>113</v>
      </c>
      <c r="F25" t="s">
        <v>57</v>
      </c>
      <c r="G25" t="s">
        <v>22</v>
      </c>
      <c r="H25" t="s">
        <v>68</v>
      </c>
      <c r="I25" t="s">
        <v>152</v>
      </c>
      <c r="J25" t="s">
        <v>153</v>
      </c>
      <c r="K25" t="s">
        <v>26</v>
      </c>
      <c r="L25" t="s">
        <v>27</v>
      </c>
      <c r="M25" t="s">
        <v>154</v>
      </c>
      <c r="N25">
        <v>2</v>
      </c>
      <c r="O25" t="s">
        <v>203</v>
      </c>
      <c r="P25" t="s">
        <v>62</v>
      </c>
      <c r="Q25" t="s">
        <v>63</v>
      </c>
      <c r="R25" t="s">
        <v>31</v>
      </c>
    </row>
    <row r="26" spans="1:18" x14ac:dyDescent="0.3">
      <c r="A26" t="s">
        <v>73</v>
      </c>
      <c r="B26" t="str">
        <f t="shared" si="0"/>
        <v>CG282RVD0-2_ 5</v>
      </c>
      <c r="C26" t="s">
        <v>18</v>
      </c>
      <c r="D26" t="s">
        <v>19</v>
      </c>
      <c r="E26" t="s">
        <v>113</v>
      </c>
      <c r="G26" t="s">
        <v>74</v>
      </c>
      <c r="H26" t="s">
        <v>68</v>
      </c>
      <c r="I26" t="s">
        <v>155</v>
      </c>
      <c r="J26" t="s">
        <v>51</v>
      </c>
      <c r="K26" t="s">
        <v>38</v>
      </c>
      <c r="L26" t="s">
        <v>27</v>
      </c>
      <c r="M26" t="s">
        <v>156</v>
      </c>
      <c r="N26">
        <v>2</v>
      </c>
      <c r="O26" t="s">
        <v>53</v>
      </c>
      <c r="P26" t="s">
        <v>78</v>
      </c>
      <c r="Q26" t="s">
        <v>79</v>
      </c>
      <c r="R26" t="s">
        <v>72</v>
      </c>
    </row>
    <row r="27" spans="1:18" x14ac:dyDescent="0.3">
      <c r="A27" t="s">
        <v>73</v>
      </c>
      <c r="B27" t="str">
        <f t="shared" si="0"/>
        <v>CG282RVD0-2_ 3</v>
      </c>
      <c r="C27" t="s">
        <v>18</v>
      </c>
      <c r="D27" t="s">
        <v>19</v>
      </c>
      <c r="E27" t="s">
        <v>42</v>
      </c>
      <c r="F27" t="s">
        <v>157</v>
      </c>
      <c r="G27" t="s">
        <v>22</v>
      </c>
      <c r="H27" t="s">
        <v>68</v>
      </c>
      <c r="I27" t="s">
        <v>158</v>
      </c>
      <c r="J27" t="s">
        <v>159</v>
      </c>
      <c r="K27" t="s">
        <v>26</v>
      </c>
      <c r="L27" t="s">
        <v>27</v>
      </c>
      <c r="M27" t="s">
        <v>160</v>
      </c>
      <c r="N27">
        <v>2</v>
      </c>
      <c r="O27" t="s">
        <v>53</v>
      </c>
      <c r="P27" t="s">
        <v>78</v>
      </c>
      <c r="Q27" t="s">
        <v>79</v>
      </c>
      <c r="R27" t="s">
        <v>72</v>
      </c>
    </row>
    <row r="28" spans="1:18" x14ac:dyDescent="0.3">
      <c r="A28" t="s">
        <v>73</v>
      </c>
      <c r="B28" t="str">
        <f t="shared" si="0"/>
        <v>CG282RVD0-2_ 6</v>
      </c>
      <c r="C28" t="s">
        <v>18</v>
      </c>
      <c r="D28" t="s">
        <v>19</v>
      </c>
      <c r="E28" t="s">
        <v>161</v>
      </c>
      <c r="G28" t="s">
        <v>74</v>
      </c>
      <c r="H28" t="s">
        <v>68</v>
      </c>
      <c r="I28" t="s">
        <v>162</v>
      </c>
      <c r="J28" t="s">
        <v>163</v>
      </c>
      <c r="K28" t="s">
        <v>38</v>
      </c>
      <c r="L28" t="s">
        <v>27</v>
      </c>
      <c r="M28" t="s">
        <v>164</v>
      </c>
      <c r="N28">
        <v>2</v>
      </c>
      <c r="O28" t="s">
        <v>53</v>
      </c>
      <c r="P28" t="s">
        <v>78</v>
      </c>
      <c r="Q28" t="s">
        <v>79</v>
      </c>
      <c r="R28" t="s">
        <v>72</v>
      </c>
    </row>
    <row r="29" spans="1:18" x14ac:dyDescent="0.3">
      <c r="A29" t="s">
        <v>73</v>
      </c>
      <c r="B29" t="str">
        <f t="shared" si="0"/>
        <v>CG282RVD0-2_ 4</v>
      </c>
      <c r="C29" t="s">
        <v>18</v>
      </c>
      <c r="D29" t="s">
        <v>19</v>
      </c>
      <c r="E29" t="s">
        <v>89</v>
      </c>
      <c r="F29" t="s">
        <v>165</v>
      </c>
      <c r="G29" t="s">
        <v>22</v>
      </c>
      <c r="H29" t="s">
        <v>68</v>
      </c>
      <c r="I29" t="s">
        <v>166</v>
      </c>
      <c r="J29" t="s">
        <v>145</v>
      </c>
      <c r="K29" t="s">
        <v>26</v>
      </c>
      <c r="L29" t="s">
        <v>27</v>
      </c>
      <c r="M29" t="s">
        <v>167</v>
      </c>
      <c r="N29">
        <v>2</v>
      </c>
      <c r="O29" t="s">
        <v>53</v>
      </c>
      <c r="P29" t="s">
        <v>78</v>
      </c>
      <c r="Q29" t="s">
        <v>79</v>
      </c>
      <c r="R29" t="s">
        <v>72</v>
      </c>
    </row>
    <row r="30" spans="1:18" x14ac:dyDescent="0.3">
      <c r="A30" t="s">
        <v>168</v>
      </c>
      <c r="B30" t="str">
        <f t="shared" si="0"/>
        <v>N033RD28-2_ 1</v>
      </c>
      <c r="C30" t="s">
        <v>18</v>
      </c>
      <c r="D30" t="s">
        <v>19</v>
      </c>
      <c r="E30" t="s">
        <v>20</v>
      </c>
      <c r="F30" t="s">
        <v>21</v>
      </c>
      <c r="G30" t="s">
        <v>74</v>
      </c>
      <c r="H30" t="s">
        <v>68</v>
      </c>
      <c r="I30" t="s">
        <v>169</v>
      </c>
      <c r="J30" t="s">
        <v>170</v>
      </c>
      <c r="K30" t="s">
        <v>26</v>
      </c>
      <c r="L30" t="s">
        <v>27</v>
      </c>
      <c r="M30" t="s">
        <v>62</v>
      </c>
      <c r="N30">
        <v>2</v>
      </c>
      <c r="O30" t="s">
        <v>53</v>
      </c>
      <c r="P30" t="s">
        <v>171</v>
      </c>
      <c r="Q30" t="s">
        <v>172</v>
      </c>
      <c r="R30" t="s">
        <v>31</v>
      </c>
    </row>
    <row r="31" spans="1:18" x14ac:dyDescent="0.3">
      <c r="A31" t="s">
        <v>168</v>
      </c>
      <c r="B31" t="str">
        <f t="shared" si="0"/>
        <v>N033RD28-2_ 2</v>
      </c>
      <c r="C31" t="s">
        <v>18</v>
      </c>
      <c r="D31" t="s">
        <v>19</v>
      </c>
      <c r="E31" t="s">
        <v>33</v>
      </c>
      <c r="F31" t="s">
        <v>21</v>
      </c>
      <c r="G31" t="s">
        <v>74</v>
      </c>
      <c r="H31" t="s">
        <v>68</v>
      </c>
      <c r="I31" t="s">
        <v>173</v>
      </c>
      <c r="J31" t="s">
        <v>174</v>
      </c>
      <c r="K31" t="s">
        <v>26</v>
      </c>
      <c r="L31" t="s">
        <v>27</v>
      </c>
      <c r="M31" t="s">
        <v>175</v>
      </c>
      <c r="N31">
        <v>2</v>
      </c>
      <c r="O31" t="s">
        <v>53</v>
      </c>
      <c r="P31" t="s">
        <v>171</v>
      </c>
      <c r="Q31" t="s">
        <v>172</v>
      </c>
      <c r="R31" t="s">
        <v>31</v>
      </c>
    </row>
    <row r="32" spans="1:18" x14ac:dyDescent="0.3">
      <c r="A32" t="s">
        <v>168</v>
      </c>
      <c r="B32" t="str">
        <f t="shared" si="0"/>
        <v>N033RD28-2_ 3</v>
      </c>
      <c r="C32" t="s">
        <v>18</v>
      </c>
      <c r="D32" t="s">
        <v>19</v>
      </c>
      <c r="E32" t="s">
        <v>42</v>
      </c>
      <c r="F32" t="s">
        <v>21</v>
      </c>
      <c r="G32" t="s">
        <v>74</v>
      </c>
      <c r="H32" t="s">
        <v>68</v>
      </c>
      <c r="I32" t="s">
        <v>176</v>
      </c>
      <c r="J32" t="s">
        <v>177</v>
      </c>
      <c r="K32" t="s">
        <v>38</v>
      </c>
      <c r="L32" t="s">
        <v>27</v>
      </c>
      <c r="M32" t="s">
        <v>178</v>
      </c>
      <c r="N32">
        <v>2</v>
      </c>
      <c r="O32" t="s">
        <v>53</v>
      </c>
      <c r="P32" t="s">
        <v>171</v>
      </c>
      <c r="Q32" t="s">
        <v>172</v>
      </c>
      <c r="R32" t="s">
        <v>31</v>
      </c>
    </row>
    <row r="33" spans="1:18" x14ac:dyDescent="0.3">
      <c r="A33" t="s">
        <v>179</v>
      </c>
      <c r="B33" t="str">
        <f t="shared" si="0"/>
        <v>N273RD7-2_ 1</v>
      </c>
      <c r="C33" t="s">
        <v>18</v>
      </c>
      <c r="D33" t="s">
        <v>19</v>
      </c>
      <c r="E33" t="s">
        <v>20</v>
      </c>
      <c r="F33" t="s">
        <v>21</v>
      </c>
      <c r="G33" t="s">
        <v>74</v>
      </c>
      <c r="H33" t="s">
        <v>68</v>
      </c>
      <c r="I33" t="s">
        <v>180</v>
      </c>
      <c r="J33" t="s">
        <v>181</v>
      </c>
      <c r="K33" t="s">
        <v>26</v>
      </c>
      <c r="L33" t="s">
        <v>27</v>
      </c>
      <c r="M33" t="s">
        <v>182</v>
      </c>
      <c r="N33">
        <v>2</v>
      </c>
      <c r="O33" t="s">
        <v>53</v>
      </c>
      <c r="P33" t="s">
        <v>201</v>
      </c>
      <c r="Q33" t="s">
        <v>183</v>
      </c>
      <c r="R33" t="s">
        <v>31</v>
      </c>
    </row>
    <row r="34" spans="1:18" x14ac:dyDescent="0.3">
      <c r="A34" t="s">
        <v>184</v>
      </c>
      <c r="B34" t="str">
        <f t="shared" si="0"/>
        <v>13_ 1</v>
      </c>
      <c r="C34" t="s">
        <v>185</v>
      </c>
      <c r="D34" t="s">
        <v>19</v>
      </c>
      <c r="E34" t="s">
        <v>20</v>
      </c>
      <c r="F34" t="s">
        <v>57</v>
      </c>
      <c r="G34" t="s">
        <v>68</v>
      </c>
      <c r="H34" t="s">
        <v>68</v>
      </c>
      <c r="I34" t="s">
        <v>186</v>
      </c>
      <c r="J34" t="s">
        <v>187</v>
      </c>
      <c r="K34" t="s">
        <v>68</v>
      </c>
      <c r="L34" t="s">
        <v>27</v>
      </c>
      <c r="M34" t="s">
        <v>40</v>
      </c>
      <c r="N34">
        <v>2</v>
      </c>
      <c r="O34" t="s">
        <v>203</v>
      </c>
      <c r="P34" t="s">
        <v>150</v>
      </c>
      <c r="Q34" t="s">
        <v>188</v>
      </c>
      <c r="R34" t="s">
        <v>185</v>
      </c>
    </row>
    <row r="35" spans="1:18" x14ac:dyDescent="0.3">
      <c r="A35" t="s">
        <v>189</v>
      </c>
      <c r="B35" t="str">
        <f t="shared" si="0"/>
        <v>16_ 1</v>
      </c>
      <c r="C35" t="s">
        <v>185</v>
      </c>
      <c r="D35" t="s">
        <v>19</v>
      </c>
      <c r="E35" t="s">
        <v>20</v>
      </c>
      <c r="F35" t="s">
        <v>57</v>
      </c>
      <c r="G35" t="s">
        <v>68</v>
      </c>
      <c r="H35" t="s">
        <v>68</v>
      </c>
      <c r="I35" t="s">
        <v>190</v>
      </c>
      <c r="J35" t="s">
        <v>191</v>
      </c>
      <c r="K35" t="s">
        <v>68</v>
      </c>
      <c r="L35" t="s">
        <v>27</v>
      </c>
      <c r="M35" t="s">
        <v>192</v>
      </c>
      <c r="N35">
        <v>2</v>
      </c>
      <c r="O35" t="s">
        <v>203</v>
      </c>
      <c r="P35" t="s">
        <v>150</v>
      </c>
      <c r="Q35" t="s">
        <v>188</v>
      </c>
      <c r="R35" t="s">
        <v>185</v>
      </c>
    </row>
    <row r="36" spans="1:18" x14ac:dyDescent="0.3">
      <c r="A36" t="s">
        <v>193</v>
      </c>
      <c r="B36" t="str">
        <f t="shared" si="0"/>
        <v>5045/18_ 1</v>
      </c>
      <c r="C36" t="s">
        <v>194</v>
      </c>
      <c r="D36" t="s">
        <v>19</v>
      </c>
      <c r="E36" t="s">
        <v>20</v>
      </c>
      <c r="F36" t="s">
        <v>57</v>
      </c>
      <c r="G36" t="s">
        <v>68</v>
      </c>
      <c r="H36" t="s">
        <v>68</v>
      </c>
      <c r="I36" t="s">
        <v>195</v>
      </c>
      <c r="J36" t="s">
        <v>196</v>
      </c>
      <c r="K36" t="s">
        <v>68</v>
      </c>
      <c r="L36" t="s">
        <v>27</v>
      </c>
      <c r="M36" t="s">
        <v>197</v>
      </c>
      <c r="N36">
        <v>2</v>
      </c>
      <c r="O36" t="s">
        <v>203</v>
      </c>
      <c r="P36" t="s">
        <v>198</v>
      </c>
      <c r="Q36" t="s">
        <v>199</v>
      </c>
      <c r="R36" t="s">
        <v>194</v>
      </c>
    </row>
  </sheetData>
  <autoFilter ref="A1:R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Sulayman sowe</cp:lastModifiedBy>
  <dcterms:created xsi:type="dcterms:W3CDTF">2025-12-12T12:42:30Z</dcterms:created>
  <dcterms:modified xsi:type="dcterms:W3CDTF">2026-09-02T15:24:10Z</dcterms:modified>
</cp:coreProperties>
</file>